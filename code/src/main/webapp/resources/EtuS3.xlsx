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dine.berger\Documents\IUT\2025-2026\SAE_BUT2\Salle_DS\"/>
    </mc:Choice>
  </mc:AlternateContent>
  <xr:revisionPtr revIDLastSave="0" documentId="13_ncr:1_{9CDAB210-E7A5-4B39-B8C1-47B49EA8D188}" xr6:coauthVersionLast="47" xr6:coauthVersionMax="47" xr10:uidLastSave="{00000000-0000-0000-0000-000000000000}"/>
  <bookViews>
    <workbookView xWindow="-120" yWindow="-120" windowWidth="25440" windowHeight="15390" xr2:uid="{5A3E9F18-2E07-40E9-9814-7B1A9335CA42}"/>
  </bookViews>
  <sheets>
    <sheet name="Promo" sheetId="1" r:id="rId1"/>
    <sheet name="Gpes" sheetId="2" r:id="rId2"/>
    <sheet name="SS_Gpes" sheetId="3" r:id="rId3"/>
    <sheet name="GpesT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" i="4" l="1"/>
  <c r="B2" i="4"/>
  <c r="B3" i="4"/>
  <c r="B2" i="2"/>
  <c r="B3" i="2"/>
  <c r="B1" i="2"/>
  <c r="I27" i="3" l="1"/>
  <c r="J27" i="3"/>
  <c r="J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H1" i="3"/>
  <c r="I1" i="3"/>
  <c r="H2" i="3"/>
  <c r="I2" i="3"/>
  <c r="H3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</calcChain>
</file>

<file path=xl/sharedStrings.xml><?xml version="1.0" encoding="utf-8"?>
<sst xmlns="http://schemas.openxmlformats.org/spreadsheetml/2006/main" count="42" uniqueCount="13">
  <si>
    <t>p2403918</t>
  </si>
  <si>
    <t>p2406410</t>
  </si>
  <si>
    <t>p2403367</t>
  </si>
  <si>
    <t>ANDRADE</t>
  </si>
  <si>
    <t>JABOU</t>
  </si>
  <si>
    <t>RAMIREZ</t>
  </si>
  <si>
    <t>VICTOR</t>
  </si>
  <si>
    <t>MALIK</t>
  </si>
  <si>
    <t>NEO</t>
  </si>
  <si>
    <t>victor.andrade@etu.univ-lyon1.fr</t>
  </si>
  <si>
    <t>malik.jabou@etu.univ-lyon1.fr</t>
  </si>
  <si>
    <t>neo.ramirez@etu.univ-lyon1.fr</t>
  </si>
  <si>
    <t>2AG2.1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</si>
</sst>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Font="1"/>
    <xf numFmtId="0" fontId="1" fillId="0" borderId="0" xfId="1" applyFont="1"/>
    <xf numFmtId="0" fontId="1" fillId="0" borderId="0" xfId="1" applyFont="1"/>
    <xf numFmtId="0" fontId="1" fillId="0" borderId="0" xfId="1" applyFont="1"/>
    <xf numFmtId="0" fontId="1" fillId="0" borderId="0" xfId="1" applyFont="1" applyFill="1"/>
  </cellXfs>
  <cellStyles count="2">
    <cellStyle name="Normal" xfId="0" builtinId="0"/>
    <cellStyle name="Normal 2" xfId="1" xr:uid="{1B732FA8-C66E-47C1-A5C2-E0F97AA1E9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C221-B7C3-4490-ABD2-7B616B209F8A}">
  <dimension ref="A1:D3"/>
  <sheetViews>
    <sheetView tabSelected="1" workbookViewId="0">
      <selection activeCell="D7" sqref="D7"/>
    </sheetView>
  </sheetViews>
  <sheetFormatPr baseColWidth="10" defaultRowHeight="14.4" x14ac:dyDescent="0.3"/>
  <sheetData>
    <row r="1" spans="1:4" ht="15.6" x14ac:dyDescent="0.3">
      <c r="A1" s="1" t="s">
        <v>0</v>
      </c>
      <c r="B1" s="2" t="s">
        <v>3</v>
      </c>
      <c r="C1" s="3" t="s">
        <v>6</v>
      </c>
      <c r="D1" s="4" t="s">
        <v>9</v>
      </c>
    </row>
    <row r="2" spans="1:4" ht="15.6" x14ac:dyDescent="0.3">
      <c r="A2" s="1" t="s">
        <v>1</v>
      </c>
      <c r="B2" s="2" t="s">
        <v>4</v>
      </c>
      <c r="C2" s="3" t="s">
        <v>7</v>
      </c>
      <c r="D2" s="4" t="s">
        <v>10</v>
      </c>
    </row>
    <row r="3" spans="1:4" ht="15.6" x14ac:dyDescent="0.3">
      <c r="A3" s="1" t="s">
        <v>2</v>
      </c>
      <c r="B3" s="2" t="s">
        <v>5</v>
      </c>
      <c r="C3" s="3" t="s">
        <v>8</v>
      </c>
      <c r="D3" s="4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5A9F-DA5A-4280-97FC-58F0C2F3ECF9}">
  <dimension ref="A1:D3"/>
  <sheetViews>
    <sheetView workbookViewId="0">
      <selection activeCell="A4" sqref="A4:XFD12"/>
    </sheetView>
  </sheetViews>
  <sheetFormatPr baseColWidth="10" defaultRowHeight="14.4" x14ac:dyDescent="0.3"/>
  <sheetData>
    <row r="1" spans="1:4" ht="15.6" x14ac:dyDescent="0.3">
      <c r="A1" s="4" t="s">
        <v>0</v>
      </c>
      <c r="B1" t="str">
        <f>MID(SS_Gpes!B1,1,4)</f>
        <v>2AG2</v>
      </c>
      <c r="C1" s="4" t="s">
        <v>3</v>
      </c>
      <c r="D1" s="4" t="s">
        <v>6</v>
      </c>
    </row>
    <row r="2" spans="1:4" ht="15.6" x14ac:dyDescent="0.3">
      <c r="A2" s="4" t="s">
        <v>1</v>
      </c>
      <c r="B2" t="str">
        <f>MID(SS_Gpes!B2,1,4)</f>
        <v>2AG2</v>
      </c>
      <c r="C2" s="4" t="s">
        <v>4</v>
      </c>
      <c r="D2" s="4" t="s">
        <v>7</v>
      </c>
    </row>
    <row r="3" spans="1:4" ht="15.6" x14ac:dyDescent="0.3">
      <c r="A3" s="4" t="s">
        <v>2</v>
      </c>
      <c r="B3" t="str">
        <f>MID(SS_Gpes!B3,1,4)</f>
        <v>2AG2</v>
      </c>
      <c r="C3" s="4" t="s">
        <v>5</v>
      </c>
      <c r="D3" s="4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F154-13CD-4A67-9697-FD03AADCCAB2}">
  <dimension ref="A1:J27"/>
  <sheetViews>
    <sheetView workbookViewId="0">
      <selection activeCell="H4" sqref="H4:H27"/>
    </sheetView>
  </sheetViews>
  <sheetFormatPr baseColWidth="10" defaultRowHeight="14.4" x14ac:dyDescent="0.3"/>
  <sheetData>
    <row r="1" spans="1:10" ht="15.6" x14ac:dyDescent="0.3">
      <c r="A1" s="4" t="s">
        <v>0</v>
      </c>
      <c r="B1" t="s">
        <v>12</v>
      </c>
      <c r="C1" s="4" t="s">
        <v>3</v>
      </c>
      <c r="D1" s="4" t="s">
        <v>6</v>
      </c>
      <c r="F1" s="5"/>
      <c r="H1" t="str">
        <f t="shared" ref="H1:H18" si="0">C1</f>
        <v>ANDRADE</v>
      </c>
      <c r="I1" t="str">
        <f t="shared" ref="I1:I18" si="1">PROPER(D1)</f>
        <v>Victor</v>
      </c>
      <c r="J1" t="str">
        <f t="shared" ref="J1:J18" si="2">MID(F1,1,1)</f>
        <v/>
      </c>
    </row>
    <row r="2" spans="1:10" ht="15.6" x14ac:dyDescent="0.3">
      <c r="A2" s="4" t="s">
        <v>1</v>
      </c>
      <c r="B2" t="s">
        <v>12</v>
      </c>
      <c r="C2" s="4" t="s">
        <v>4</v>
      </c>
      <c r="D2" s="4" t="s">
        <v>7</v>
      </c>
      <c r="F2" s="5"/>
      <c r="H2" t="str">
        <f t="shared" si="0"/>
        <v>JABOU</v>
      </c>
      <c r="I2" t="str">
        <f t="shared" si="1"/>
        <v>Malik</v>
      </c>
      <c r="J2" t="str">
        <f t="shared" si="2"/>
        <v/>
      </c>
    </row>
    <row r="3" spans="1:10" ht="15.6" x14ac:dyDescent="0.3">
      <c r="A3" s="4" t="s">
        <v>2</v>
      </c>
      <c r="B3" t="s">
        <v>12</v>
      </c>
      <c r="C3" s="4" t="s">
        <v>5</v>
      </c>
      <c r="D3" s="4" t="s">
        <v>8</v>
      </c>
      <c r="F3" s="5"/>
      <c r="H3" t="str">
        <f t="shared" si="0"/>
        <v>RAMIREZ</v>
      </c>
      <c r="I3" t="str">
        <f t="shared" si="1"/>
        <v>Neo</v>
      </c>
      <c r="J3" t="str">
        <f t="shared" si="2"/>
        <v/>
      </c>
    </row>
    <row r="4" spans="1:10" ht="15.6" x14ac:dyDescent="0.3">
      <c r="F4" s="5"/>
      <c r="I4" t="str">
        <f t="shared" si="1"/>
        <v/>
      </c>
      <c r="J4" t="str">
        <f t="shared" si="2"/>
        <v/>
      </c>
    </row>
    <row r="5" spans="1:10" ht="15.6" x14ac:dyDescent="0.3">
      <c r="F5" s="5"/>
      <c r="I5" t="str">
        <f t="shared" si="1"/>
        <v/>
      </c>
      <c r="J5" t="str">
        <f t="shared" si="2"/>
        <v/>
      </c>
    </row>
    <row r="6" spans="1:10" ht="15.6" x14ac:dyDescent="0.3">
      <c r="F6" s="5"/>
      <c r="I6" t="str">
        <f t="shared" si="1"/>
        <v/>
      </c>
      <c r="J6" t="str">
        <f t="shared" si="2"/>
        <v/>
      </c>
    </row>
    <row r="7" spans="1:10" ht="15.6" x14ac:dyDescent="0.3">
      <c r="F7" s="5"/>
      <c r="I7" t="str">
        <f t="shared" si="1"/>
        <v/>
      </c>
      <c r="J7" t="str">
        <f t="shared" si="2"/>
        <v/>
      </c>
    </row>
    <row r="8" spans="1:10" ht="15.6" x14ac:dyDescent="0.3">
      <c r="F8" s="5"/>
      <c r="I8" t="str">
        <f t="shared" si="1"/>
        <v/>
      </c>
      <c r="J8" t="str">
        <f t="shared" si="2"/>
        <v/>
      </c>
    </row>
    <row r="9" spans="1:10" ht="15.6" x14ac:dyDescent="0.3">
      <c r="F9" s="5"/>
      <c r="I9" t="str">
        <f t="shared" si="1"/>
        <v/>
      </c>
      <c r="J9" t="str">
        <f t="shared" si="2"/>
        <v/>
      </c>
    </row>
    <row r="10" spans="1:10" ht="15.6" x14ac:dyDescent="0.3">
      <c r="F10" s="5"/>
      <c r="I10" t="str">
        <f t="shared" si="1"/>
        <v/>
      </c>
      <c r="J10" t="str">
        <f t="shared" si="2"/>
        <v/>
      </c>
    </row>
    <row r="11" spans="1:10" ht="15.6" x14ac:dyDescent="0.3">
      <c r="F11" s="5"/>
      <c r="I11" t="str">
        <f t="shared" si="1"/>
        <v/>
      </c>
      <c r="J11" t="str">
        <f t="shared" si="2"/>
        <v/>
      </c>
    </row>
    <row r="12" spans="1:10" ht="15.6" x14ac:dyDescent="0.3">
      <c r="F12" s="5"/>
      <c r="I12" t="str">
        <f t="shared" si="1"/>
        <v/>
      </c>
      <c r="J12" t="str">
        <f t="shared" si="2"/>
        <v/>
      </c>
    </row>
    <row r="13" spans="1:10" ht="15.6" x14ac:dyDescent="0.3">
      <c r="F13" s="5"/>
      <c r="I13" t="str">
        <f t="shared" si="1"/>
        <v/>
      </c>
      <c r="J13" t="str">
        <f t="shared" si="2"/>
        <v/>
      </c>
    </row>
    <row r="14" spans="1:10" ht="15.6" x14ac:dyDescent="0.3">
      <c r="F14" s="5"/>
      <c r="I14" t="str">
        <f t="shared" si="1"/>
        <v/>
      </c>
      <c r="J14" t="str">
        <f t="shared" si="2"/>
        <v/>
      </c>
    </row>
    <row r="15" spans="1:10" ht="15.6" x14ac:dyDescent="0.3">
      <c r="F15" s="5"/>
      <c r="I15" t="str">
        <f t="shared" si="1"/>
        <v/>
      </c>
      <c r="J15" t="str">
        <f t="shared" si="2"/>
        <v/>
      </c>
    </row>
    <row r="16" spans="1:10" ht="15.6" x14ac:dyDescent="0.3">
      <c r="F16" s="5"/>
      <c r="I16" t="str">
        <f t="shared" si="1"/>
        <v/>
      </c>
      <c r="J16" t="str">
        <f t="shared" si="2"/>
        <v/>
      </c>
    </row>
    <row r="17" spans="6:10" ht="15.6" x14ac:dyDescent="0.3">
      <c r="F17" s="5"/>
      <c r="I17" t="str">
        <f t="shared" si="1"/>
        <v/>
      </c>
      <c r="J17" t="str">
        <f t="shared" si="2"/>
        <v/>
      </c>
    </row>
    <row r="18" spans="6:10" ht="15.6" x14ac:dyDescent="0.3">
      <c r="F18" s="5"/>
      <c r="I18" t="str">
        <f t="shared" si="1"/>
        <v/>
      </c>
      <c r="J18" t="str">
        <f t="shared" si="2"/>
        <v/>
      </c>
    </row>
    <row r="19" spans="6:10" ht="15.6" x14ac:dyDescent="0.3">
      <c r="F19" s="5"/>
      <c r="I19" t="str">
        <f t="shared" ref="I19:I27" si="3">PROPER(D19)</f>
        <v/>
      </c>
      <c r="J19" t="str">
        <f t="shared" ref="J19:J27" si="4">MID(F19,1,1)</f>
        <v/>
      </c>
    </row>
    <row r="20" spans="6:10" ht="15.6" x14ac:dyDescent="0.3">
      <c r="F20" s="5"/>
      <c r="I20" t="str">
        <f t="shared" si="3"/>
        <v/>
      </c>
      <c r="J20" t="str">
        <f t="shared" si="4"/>
        <v/>
      </c>
    </row>
    <row r="21" spans="6:10" ht="15.6" x14ac:dyDescent="0.3">
      <c r="F21" s="5"/>
      <c r="I21" t="str">
        <f t="shared" si="3"/>
        <v/>
      </c>
      <c r="J21" t="str">
        <f t="shared" si="4"/>
        <v/>
      </c>
    </row>
    <row r="22" spans="6:10" ht="15.6" x14ac:dyDescent="0.3">
      <c r="F22" s="5"/>
      <c r="I22" t="str">
        <f t="shared" si="3"/>
        <v/>
      </c>
      <c r="J22" t="str">
        <f t="shared" si="4"/>
        <v/>
      </c>
    </row>
    <row r="23" spans="6:10" ht="15.6" x14ac:dyDescent="0.3">
      <c r="F23" s="5"/>
      <c r="I23" t="str">
        <f t="shared" si="3"/>
        <v/>
      </c>
      <c r="J23" t="str">
        <f t="shared" si="4"/>
        <v/>
      </c>
    </row>
    <row r="24" spans="6:10" ht="15.6" x14ac:dyDescent="0.3">
      <c r="F24" s="5"/>
      <c r="I24" t="str">
        <f t="shared" si="3"/>
        <v/>
      </c>
      <c r="J24" t="str">
        <f t="shared" si="4"/>
        <v/>
      </c>
    </row>
    <row r="25" spans="6:10" ht="15.6" x14ac:dyDescent="0.3">
      <c r="F25" s="5"/>
      <c r="I25" t="str">
        <f t="shared" si="3"/>
        <v/>
      </c>
      <c r="J25" t="str">
        <f t="shared" si="4"/>
        <v/>
      </c>
    </row>
    <row r="26" spans="6:10" ht="15.6" x14ac:dyDescent="0.3">
      <c r="F26" s="5"/>
      <c r="I26" t="str">
        <f t="shared" si="3"/>
        <v/>
      </c>
      <c r="J26" t="str">
        <f t="shared" si="4"/>
        <v/>
      </c>
    </row>
    <row r="27" spans="6:10" ht="15.6" x14ac:dyDescent="0.3">
      <c r="F27" s="5"/>
      <c r="I27" t="str">
        <f t="shared" si="3"/>
        <v/>
      </c>
      <c r="J27" t="str">
        <f t="shared" si="4"/>
        <v/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B9C8-41F3-4E37-8C8E-CA8C41CBB397}">
  <dimension ref="A1:D3"/>
  <sheetViews>
    <sheetView workbookViewId="0">
      <selection activeCell="A4" sqref="A4:XFD12"/>
    </sheetView>
  </sheetViews>
  <sheetFormatPr baseColWidth="10" defaultRowHeight="14.4" x14ac:dyDescent="0.3"/>
  <sheetData>
    <row r="1" spans="1:4" ht="15.6" x14ac:dyDescent="0.3">
      <c r="A1" s="4" t="s">
        <v>0</v>
      </c>
      <c r="B1" t="str">
        <f>IF(SS_Gpes!B1="2AG1.1","2TP1",IF(SS_Gpes!B1="2AG2.2","2TP3","2TP2"))</f>
        <v>2TP2</v>
      </c>
      <c r="C1" s="4" t="s">
        <v>3</v>
      </c>
      <c r="D1" s="4" t="s">
        <v>6</v>
      </c>
    </row>
    <row r="2" spans="1:4" ht="15.6" x14ac:dyDescent="0.3">
      <c r="A2" s="4" t="s">
        <v>1</v>
      </c>
      <c r="B2" t="str">
        <f>IF(SS_Gpes!B2="2AG1.1","2TP1",IF(SS_Gpes!B2="2AG2.2","2TP3","2TP2"))</f>
        <v>2TP2</v>
      </c>
      <c r="C2" s="4" t="s">
        <v>4</v>
      </c>
      <c r="D2" s="4" t="s">
        <v>7</v>
      </c>
    </row>
    <row r="3" spans="1:4" ht="15.6" x14ac:dyDescent="0.3">
      <c r="A3" s="4" t="s">
        <v>2</v>
      </c>
      <c r="B3" t="str">
        <f>IF(SS_Gpes!B3="2AG1.1","2TP1",IF(SS_Gpes!B3="2AG2.2","2TP3","2TP2"))</f>
        <v>2TP2</v>
      </c>
      <c r="C3" s="4" t="s">
        <v>5</v>
      </c>
      <c r="D3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Promo</vt:lpstr>
      <vt:lpstr>Gpes</vt:lpstr>
      <vt:lpstr>SS_Gpes</vt:lpstr>
      <vt:lpstr>GpesTP</vt:lpstr>
    </vt:vector>
  </TitlesOfParts>
  <Company>Iut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A</dc:creator>
  <cp:lastModifiedBy>BERGER AMANDINE</cp:lastModifiedBy>
  <dcterms:created xsi:type="dcterms:W3CDTF">2023-09-03T13:41:24Z</dcterms:created>
  <dcterms:modified xsi:type="dcterms:W3CDTF">2025-11-24T16:14:23Z</dcterms:modified>
</cp:coreProperties>
</file>